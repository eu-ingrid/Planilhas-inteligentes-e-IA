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/>
  <xr:revisionPtr revIDLastSave="0" documentId="8_{360F72DA-E848-4862-B00B-FBD945B98261}" xr6:coauthVersionLast="47" xr6:coauthVersionMax="47" xr10:uidLastSave="{00000000-0000-0000-0000-000000000000}"/>
  <bookViews>
    <workbookView xWindow="240" yWindow="105" windowWidth="14805" windowHeight="8010" firstSheet="1" activeTab="2" xr2:uid="{00000000-000D-0000-FFFF-FFFF00000000}"/>
  </bookViews>
  <sheets>
    <sheet name="Data" sheetId="1" r:id="rId1"/>
    <sheet name="Controller" sheetId="3" r:id="rId2"/>
    <sheet name="Dashboard" sheetId="2" r:id="rId3"/>
    <sheet name="Caixinha" sheetId="4" r:id="rId4"/>
  </sheets>
  <definedNames>
    <definedName name="_xlnm._FilterDatabase" localSheetId="0" hidden="1">Data!$A$1:$H$1</definedName>
    <definedName name="SegmentaçãodeDados_Mês">#N/A</definedName>
  </definedNames>
  <calcPr calcId="191028"/>
  <pivotCaches>
    <pivotCache cacheId="999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4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2" i="1"/>
</calcChain>
</file>

<file path=xl/sharedStrings.xml><?xml version="1.0" encoding="utf-8"?>
<sst xmlns="http://schemas.openxmlformats.org/spreadsheetml/2006/main" count="262" uniqueCount="80">
  <si>
    <t>Data</t>
  </si>
  <si>
    <t>Mês</t>
  </si>
  <si>
    <t>Tipo</t>
  </si>
  <si>
    <t>Categoria</t>
  </si>
  <si>
    <t>Descrição</t>
  </si>
  <si>
    <t>Valor</t>
  </si>
  <si>
    <t>Operação Bancária</t>
  </si>
  <si>
    <t>Status</t>
  </si>
  <si>
    <t>ENTRADA</t>
  </si>
  <si>
    <t>Renda Fixa</t>
  </si>
  <si>
    <t>Salário mensal</t>
  </si>
  <si>
    <t>Transferência</t>
  </si>
  <si>
    <t>Recebido</t>
  </si>
  <si>
    <t>SAÍDA</t>
  </si>
  <si>
    <t>Alimentação</t>
  </si>
  <si>
    <t>Compras no supermercado</t>
  </si>
  <si>
    <t>Débito Automático</t>
  </si>
  <si>
    <t>Pendente</t>
  </si>
  <si>
    <t>Transporte</t>
  </si>
  <si>
    <t>Gasolina</t>
  </si>
  <si>
    <t>Cartão de Crédito</t>
  </si>
  <si>
    <t>Pago</t>
  </si>
  <si>
    <t>Lazer</t>
  </si>
  <si>
    <t>Cinema</t>
  </si>
  <si>
    <t>Saúde</t>
  </si>
  <si>
    <t>Consulta odontológica</t>
  </si>
  <si>
    <t>Educação</t>
  </si>
  <si>
    <t>Material escolar</t>
  </si>
  <si>
    <t>Vestuário</t>
  </si>
  <si>
    <t>Compra de roupas de inverno</t>
  </si>
  <si>
    <t>Investimentos</t>
  </si>
  <si>
    <t>Dividendos de ações</t>
  </si>
  <si>
    <t>Serviços</t>
  </si>
  <si>
    <t>Limpeza do apartamento</t>
  </si>
  <si>
    <t>Eletrônicos</t>
  </si>
  <si>
    <t>Compra de novo celular</t>
  </si>
  <si>
    <t>Utilidades Domésticas</t>
  </si>
  <si>
    <t>Reparos domésticos</t>
  </si>
  <si>
    <t>Presentes</t>
  </si>
  <si>
    <t>Presente de aniversário</t>
  </si>
  <si>
    <t>Beleza</t>
  </si>
  <si>
    <t>Corte de cabelo e barba</t>
  </si>
  <si>
    <t>Pet Care</t>
  </si>
  <si>
    <t>Ração e petiscos para o cachorro</t>
  </si>
  <si>
    <t>Viagem</t>
  </si>
  <si>
    <t>Reserva de pousada</t>
  </si>
  <si>
    <t>Gastronomia</t>
  </si>
  <si>
    <t>Jantar em restaurante francês</t>
  </si>
  <si>
    <t>Cinema e jantar</t>
  </si>
  <si>
    <t>Plano de saúde</t>
  </si>
  <si>
    <t>Compra de roupas</t>
  </si>
  <si>
    <t>Freelance</t>
  </si>
  <si>
    <t>Pagamento por projeto freelancer</t>
  </si>
  <si>
    <t>Manutenção do veículo</t>
  </si>
  <si>
    <t>Compra de novo smartphone</t>
  </si>
  <si>
    <t>Utilidades Dom.</t>
  </si>
  <si>
    <t>Conta de energia elétrica</t>
  </si>
  <si>
    <t>Aniversário da mãe</t>
  </si>
  <si>
    <t>Recarga de cartão de transporte</t>
  </si>
  <si>
    <t>Ingressos para teatro</t>
  </si>
  <si>
    <t>Remédios de farmácia</t>
  </si>
  <si>
    <t>Cursos online</t>
  </si>
  <si>
    <t>Roupas de primavera</t>
  </si>
  <si>
    <t>Manutenção da casa</t>
  </si>
  <si>
    <t>Venda de ativos</t>
  </si>
  <si>
    <t>Venda de equipamentos eletrônicos</t>
  </si>
  <si>
    <t>Manutenção do computador</t>
  </si>
  <si>
    <t>Troca de móveis da cozinha</t>
  </si>
  <si>
    <t>Presentes para casamento</t>
  </si>
  <si>
    <t>Veterinário para o pet</t>
  </si>
  <si>
    <t>Salão de beleza</t>
  </si>
  <si>
    <t>Jantar em restaurante italiano</t>
  </si>
  <si>
    <t>Reserva de hotel para fim de semana</t>
  </si>
  <si>
    <t>Quanto tive de saída por categoria, sumarizado em reais</t>
  </si>
  <si>
    <t>Soma de Valor</t>
  </si>
  <si>
    <t>Total Geral</t>
  </si>
  <si>
    <t>Total reservado</t>
  </si>
  <si>
    <t>Meta de reserva</t>
  </si>
  <si>
    <t>Data Lançamento</t>
  </si>
  <si>
    <t>Depósito Reservado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</si>
</sst>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theme="4" tint="-0.249977111117893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4" fontId="0" fillId="0" borderId="0" xfId="1" applyFont="1" applyAlignment="1">
      <alignment horizontal="center" wrapText="1"/>
    </xf>
    <xf numFmtId="4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0" fillId="3" borderId="0" xfId="0" applyFill="1"/>
    <xf numFmtId="0" fontId="0" fillId="0" borderId="0" xfId="0" pivotButton="1"/>
    <xf numFmtId="1" fontId="2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1" fontId="0" fillId="0" borderId="0" xfId="0" applyNumberFormat="1"/>
    <xf numFmtId="0" fontId="0" fillId="2" borderId="0" xfId="0" applyFont="1" applyFill="1"/>
    <xf numFmtId="164" fontId="0" fillId="0" borderId="0" xfId="0" applyNumberFormat="1"/>
    <xf numFmtId="0" fontId="4" fillId="2" borderId="1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2">
    <cellStyle name="Moeda" xfId="1" builtinId="4"/>
    <cellStyle name="Normal" xfId="0" builtinId="0"/>
  </cellStyles>
  <dxfs count="10"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ont>
        <color rgb="FF000000"/>
      </font>
    </dxf>
    <dxf>
      <font>
        <color rgb="FF000000"/>
      </font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ont>
        <color theme="1"/>
      </font>
    </dxf>
    <dxf>
      <font>
        <color theme="1"/>
      </font>
    </dxf>
  </dxfs>
  <tableStyles count="0" defaultTableStyle="TableStyleMedium2" defaultPivotStyle="PivotStyleMedium9"/>
  <colors>
    <mruColors>
      <color rgb="FFFFC000"/>
      <color rgb="FFFFFF00"/>
      <color rgb="FFA6C9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[Pasta.xlsx]Controller!Tabela dinâmica2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A6C9E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Controller!$F$6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6C9E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Controller!$E$7:$E$11</c:f>
              <c:strCache>
                <c:ptCount val="4"/>
                <c:pt idx="0">
                  <c:v>Freelance</c:v>
                </c:pt>
                <c:pt idx="1">
                  <c:v>Investimentos</c:v>
                </c:pt>
                <c:pt idx="2">
                  <c:v>Renda Fixa</c:v>
                </c:pt>
                <c:pt idx="3">
                  <c:v>Venda de ativos</c:v>
                </c:pt>
              </c:strCache>
            </c:strRef>
          </c:cat>
          <c:val>
            <c:numRef>
              <c:f>Controller!$F$7:$F$11</c:f>
              <c:numCache>
                <c:formatCode>_("R$"* #,##0.00_);_("R$"* \(#,##0.00\);_("R$"* "-"??_);_(@_)</c:formatCode>
                <c:ptCount val="4"/>
                <c:pt idx="0">
                  <c:v>1200</c:v>
                </c:pt>
                <c:pt idx="1">
                  <c:v>800</c:v>
                </c:pt>
                <c:pt idx="2">
                  <c:v>15000</c:v>
                </c:pt>
                <c:pt idx="3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11-4631-8A88-EE58A5CBE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8044295"/>
        <c:axId val="2081231879"/>
      </c:barChart>
      <c:catAx>
        <c:axId val="668044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231879"/>
        <c:crosses val="autoZero"/>
        <c:auto val="1"/>
        <c:lblAlgn val="ctr"/>
        <c:lblOffset val="100"/>
        <c:noMultiLvlLbl val="0"/>
      </c:catAx>
      <c:valAx>
        <c:axId val="208123187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68044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[Pasta.xlsx]Controller!Tabela dinâmica1</c:name>
    <c:fmtId val="4"/>
  </c:pivotSource>
  <c:chart>
    <c:autoTitleDeleted val="1"/>
    <c:pivotFmts>
      <c:pivotFmt>
        <c:idx val="0"/>
        <c:spPr>
          <a:solidFill>
            <a:srgbClr val="A6C9EC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6C9E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A6C9E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A6C9E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A6C9E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Controller!$B$6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6C9E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Controller!$A$7:$A$22</c:f>
              <c:strCache>
                <c:ptCount val="15"/>
                <c:pt idx="0">
                  <c:v>Alimentação</c:v>
                </c:pt>
                <c:pt idx="1">
                  <c:v>Beleza</c:v>
                </c:pt>
                <c:pt idx="2">
                  <c:v>Educação</c:v>
                </c:pt>
                <c:pt idx="3">
                  <c:v>Eletrônicos</c:v>
                </c:pt>
                <c:pt idx="4">
                  <c:v>Gastronomia</c:v>
                </c:pt>
                <c:pt idx="5">
                  <c:v>Lazer</c:v>
                </c:pt>
                <c:pt idx="6">
                  <c:v>Pet Care</c:v>
                </c:pt>
                <c:pt idx="7">
                  <c:v>Presentes</c:v>
                </c:pt>
                <c:pt idx="8">
                  <c:v>Saúde</c:v>
                </c:pt>
                <c:pt idx="9">
                  <c:v>Serviços</c:v>
                </c:pt>
                <c:pt idx="10">
                  <c:v>Transporte</c:v>
                </c:pt>
                <c:pt idx="11">
                  <c:v>Utilidades Dom.</c:v>
                </c:pt>
                <c:pt idx="12">
                  <c:v>Utilidades Domésticas</c:v>
                </c:pt>
                <c:pt idx="13">
                  <c:v>Vestuário</c:v>
                </c:pt>
                <c:pt idx="14">
                  <c:v>Viagem</c:v>
                </c:pt>
              </c:strCache>
            </c:strRef>
          </c:cat>
          <c:val>
            <c:numRef>
              <c:f>Controller!$B$7:$B$22</c:f>
              <c:numCache>
                <c:formatCode>_("R$"* #,##0.00_);_("R$"* \(#,##0.00\);_("R$"* "-"??_);_(@_)</c:formatCode>
                <c:ptCount val="15"/>
                <c:pt idx="0">
                  <c:v>1600</c:v>
                </c:pt>
                <c:pt idx="1">
                  <c:v>330</c:v>
                </c:pt>
                <c:pt idx="2">
                  <c:v>1100</c:v>
                </c:pt>
                <c:pt idx="3">
                  <c:v>3000</c:v>
                </c:pt>
                <c:pt idx="4">
                  <c:v>570</c:v>
                </c:pt>
                <c:pt idx="5">
                  <c:v>500</c:v>
                </c:pt>
                <c:pt idx="6">
                  <c:v>350</c:v>
                </c:pt>
                <c:pt idx="7">
                  <c:v>830</c:v>
                </c:pt>
                <c:pt idx="8">
                  <c:v>970</c:v>
                </c:pt>
                <c:pt idx="9">
                  <c:v>1400</c:v>
                </c:pt>
                <c:pt idx="10">
                  <c:v>800</c:v>
                </c:pt>
                <c:pt idx="11">
                  <c:v>250</c:v>
                </c:pt>
                <c:pt idx="12">
                  <c:v>1250</c:v>
                </c:pt>
                <c:pt idx="13">
                  <c:v>1500</c:v>
                </c:pt>
                <c:pt idx="14">
                  <c:v>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A4-42D5-BCE0-FDA6EAA5DD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1821448"/>
        <c:axId val="1809786376"/>
      </c:barChart>
      <c:catAx>
        <c:axId val="1741821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786376"/>
        <c:crosses val="autoZero"/>
        <c:auto val="1"/>
        <c:lblAlgn val="ctr"/>
        <c:lblOffset val="100"/>
        <c:noMultiLvlLbl val="0"/>
      </c:catAx>
      <c:valAx>
        <c:axId val="1809786376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821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Caixinha!$D$2:$D$3</c:f>
              <c:numCache>
                <c:formatCode>_-[$R$-416]\ * #,##0.00_-;\-[$R$-416]\ * #,##0.00_-;_-[$R$-416]\ * "-"??_-;_-@_-</c:formatCode>
                <c:ptCount val="2"/>
                <c:pt idx="0">
                  <c:v>3755</c:v>
                </c:pt>
                <c:pt idx="1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19-45B0-93C7-CE32F083A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249608"/>
        <c:axId val="68256264"/>
      </c:barChart>
      <c:catAx>
        <c:axId val="682496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56264"/>
        <c:crosses val="autoZero"/>
        <c:auto val="1"/>
        <c:lblAlgn val="ctr"/>
        <c:lblOffset val="100"/>
        <c:noMultiLvlLbl val="0"/>
      </c:catAx>
      <c:valAx>
        <c:axId val="682562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68249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12</xdr:row>
      <xdr:rowOff>152400</xdr:rowOff>
    </xdr:from>
    <xdr:to>
      <xdr:col>5</xdr:col>
      <xdr:colOff>885825</xdr:colOff>
      <xdr:row>19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ês">
              <a:extLst>
                <a:ext uri="{FF2B5EF4-FFF2-40B4-BE49-F238E27FC236}">
                  <a16:creationId xmlns:a16="http://schemas.microsoft.com/office/drawing/2014/main" id="{5C881CEE-D873-B75C-6973-30B3907758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71900" y="2438400"/>
              <a:ext cx="1828800" cy="1323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8</xdr:row>
      <xdr:rowOff>38100</xdr:rowOff>
    </xdr:from>
    <xdr:to>
      <xdr:col>9</xdr:col>
      <xdr:colOff>228600</xdr:colOff>
      <xdr:row>22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904CAA8-31DC-488B-ABF4-46A8FA3593EA}"/>
            </a:ext>
            <a:ext uri="{147F2762-F138-4A5C-976F-8EAC2B608ADB}">
              <a16:predDERef xmlns:a16="http://schemas.microsoft.com/office/drawing/2014/main" pred="{AF06EA13-FD13-484F-A2CA-A1DDE88553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85725</xdr:colOff>
      <xdr:row>24</xdr:row>
      <xdr:rowOff>95250</xdr:rowOff>
    </xdr:from>
    <xdr:to>
      <xdr:col>17</xdr:col>
      <xdr:colOff>266700</xdr:colOff>
      <xdr:row>38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06EA13-FD13-484F-A2CA-A1DDE8855379}"/>
            </a:ext>
            <a:ext uri="{147F2762-F138-4A5C-976F-8EAC2B608ADB}">
              <a16:predDERef xmlns:a16="http://schemas.microsoft.com/office/drawing/2014/main" pred="{4904CAA8-31DC-488B-ABF4-46A8FA3593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76200</xdr:colOff>
      <xdr:row>8</xdr:row>
      <xdr:rowOff>57150</xdr:rowOff>
    </xdr:from>
    <xdr:to>
      <xdr:col>9</xdr:col>
      <xdr:colOff>209550</xdr:colOff>
      <xdr:row>22</xdr:row>
      <xdr:rowOff>133350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DAA08538-DBC6-B19B-C421-0A2FE10358AF}"/>
            </a:ext>
            <a:ext uri="{147F2762-F138-4A5C-976F-8EAC2B608ADB}">
              <a16:predDERef xmlns:a16="http://schemas.microsoft.com/office/drawing/2014/main" pred="{AF06EA13-FD13-484F-A2CA-A1DDE8855379}"/>
            </a:ext>
          </a:extLst>
        </xdr:cNvPr>
        <xdr:cNvSpPr/>
      </xdr:nvSpPr>
      <xdr:spPr>
        <a:xfrm>
          <a:off x="1295400" y="1581150"/>
          <a:ext cx="4400550" cy="2743200"/>
        </a:xfrm>
        <a:prstGeom prst="rect">
          <a:avLst/>
        </a:prstGeom>
        <a:noFill/>
        <a:ln>
          <a:solidFill>
            <a:schemeClr val="bg1">
              <a:lumMod val="65000"/>
            </a:schemeClr>
          </a:solidFill>
          <a:prstDash val="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</xdr:col>
      <xdr:colOff>95250</xdr:colOff>
      <xdr:row>24</xdr:row>
      <xdr:rowOff>104775</xdr:rowOff>
    </xdr:from>
    <xdr:to>
      <xdr:col>17</xdr:col>
      <xdr:colOff>276225</xdr:colOff>
      <xdr:row>38</xdr:row>
      <xdr:rowOff>85725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9767637A-4C04-41CA-8545-2B42855A3809}"/>
            </a:ext>
            <a:ext uri="{147F2762-F138-4A5C-976F-8EAC2B608ADB}">
              <a16:predDERef xmlns:a16="http://schemas.microsoft.com/office/drawing/2014/main" pred="{DAA08538-DBC6-B19B-C421-0A2FE10358AF}"/>
            </a:ext>
          </a:extLst>
        </xdr:cNvPr>
        <xdr:cNvSpPr/>
      </xdr:nvSpPr>
      <xdr:spPr>
        <a:xfrm>
          <a:off x="1314450" y="4676775"/>
          <a:ext cx="9324975" cy="2647950"/>
        </a:xfrm>
        <a:prstGeom prst="rect">
          <a:avLst/>
        </a:prstGeom>
        <a:noFill/>
        <a:ln>
          <a:solidFill>
            <a:schemeClr val="bg1">
              <a:lumMod val="65000"/>
            </a:schemeClr>
          </a:solidFill>
          <a:prstDash val="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</xdr:col>
      <xdr:colOff>190500</xdr:colOff>
      <xdr:row>25</xdr:row>
      <xdr:rowOff>9525</xdr:rowOff>
    </xdr:from>
    <xdr:to>
      <xdr:col>4</xdr:col>
      <xdr:colOff>190500</xdr:colOff>
      <xdr:row>27</xdr:row>
      <xdr:rowOff>161925</xdr:rowOff>
    </xdr:to>
    <xdr:sp macro="" textlink="">
      <xdr:nvSpPr>
        <xdr:cNvPr id="14" name="Retângulo Arredondado 13">
          <a:extLst>
            <a:ext uri="{FF2B5EF4-FFF2-40B4-BE49-F238E27FC236}">
              <a16:creationId xmlns:a16="http://schemas.microsoft.com/office/drawing/2014/main" id="{D6E8043E-91E4-43AD-BC1C-A927E6C178B7}"/>
            </a:ext>
            <a:ext uri="{147F2762-F138-4A5C-976F-8EAC2B608ADB}">
              <a16:predDERef xmlns:a16="http://schemas.microsoft.com/office/drawing/2014/main" pred="{9767637A-4C04-41CA-8545-2B42855A3809}"/>
            </a:ext>
          </a:extLst>
        </xdr:cNvPr>
        <xdr:cNvSpPr/>
      </xdr:nvSpPr>
      <xdr:spPr>
        <a:xfrm>
          <a:off x="2695575" y="4772025"/>
          <a:ext cx="1219200" cy="533400"/>
        </a:xfrm>
        <a:prstGeom prst="roundRect">
          <a:avLst/>
        </a:prstGeom>
        <a:solidFill>
          <a:srgbClr val="FFFF00">
            <a:alpha val="27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</xdr:col>
      <xdr:colOff>123825</xdr:colOff>
      <xdr:row>8</xdr:row>
      <xdr:rowOff>123825</xdr:rowOff>
    </xdr:from>
    <xdr:to>
      <xdr:col>4</xdr:col>
      <xdr:colOff>466725</xdr:colOff>
      <xdr:row>11</xdr:row>
      <xdr:rowOff>85725</xdr:rowOff>
    </xdr:to>
    <xdr:sp macro="" textlink="">
      <xdr:nvSpPr>
        <xdr:cNvPr id="15" name="Retângulo Arredondado 14">
          <a:extLst>
            <a:ext uri="{FF2B5EF4-FFF2-40B4-BE49-F238E27FC236}">
              <a16:creationId xmlns:a16="http://schemas.microsoft.com/office/drawing/2014/main" id="{08184FAD-E67A-41B1-A665-A7712B442441}"/>
            </a:ext>
            <a:ext uri="{147F2762-F138-4A5C-976F-8EAC2B608ADB}">
              <a16:predDERef xmlns:a16="http://schemas.microsoft.com/office/drawing/2014/main" pred="{D6E8043E-91E4-43AD-BC1C-A927E6C178B7}"/>
            </a:ext>
          </a:extLst>
        </xdr:cNvPr>
        <xdr:cNvSpPr/>
      </xdr:nvSpPr>
      <xdr:spPr>
        <a:xfrm>
          <a:off x="1343025" y="1647825"/>
          <a:ext cx="1562100" cy="533400"/>
        </a:xfrm>
        <a:prstGeom prst="roundRect">
          <a:avLst/>
        </a:prstGeom>
        <a:solidFill>
          <a:srgbClr val="FFFF00">
            <a:alpha val="27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</xdr:col>
      <xdr:colOff>190500</xdr:colOff>
      <xdr:row>9</xdr:row>
      <xdr:rowOff>9525</xdr:rowOff>
    </xdr:from>
    <xdr:to>
      <xdr:col>4</xdr:col>
      <xdr:colOff>485775</xdr:colOff>
      <xdr:row>10</xdr:row>
      <xdr:rowOff>123825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116998E-59E2-F797-9E52-FDC3F2F4338A}"/>
            </a:ext>
            <a:ext uri="{147F2762-F138-4A5C-976F-8EAC2B608ADB}">
              <a16:predDERef xmlns:a16="http://schemas.microsoft.com/office/drawing/2014/main" pred="{08184FAD-E67A-41B1-A665-A7712B442441}"/>
            </a:ext>
          </a:extLst>
        </xdr:cNvPr>
        <xdr:cNvSpPr txBox="1"/>
      </xdr:nvSpPr>
      <xdr:spPr>
        <a:xfrm>
          <a:off x="1409700" y="1724025"/>
          <a:ext cx="1514475" cy="3048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000" b="1" i="0" u="none" strike="noStrike">
              <a:solidFill>
                <a:schemeClr val="bg2">
                  <a:lumMod val="50000"/>
                </a:schemeClr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Entradas</a:t>
          </a:r>
        </a:p>
      </xdr:txBody>
    </xdr:sp>
    <xdr:clientData/>
  </xdr:twoCellAnchor>
  <xdr:twoCellAnchor>
    <xdr:from>
      <xdr:col>2</xdr:col>
      <xdr:colOff>266700</xdr:colOff>
      <xdr:row>25</xdr:row>
      <xdr:rowOff>57150</xdr:rowOff>
    </xdr:from>
    <xdr:to>
      <xdr:col>4</xdr:col>
      <xdr:colOff>561975</xdr:colOff>
      <xdr:row>26</xdr:row>
      <xdr:rowOff>171450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7699712-3D0B-4BCA-A266-F0A3C3DAE04F}"/>
            </a:ext>
            <a:ext uri="{147F2762-F138-4A5C-976F-8EAC2B608ADB}">
              <a16:predDERef xmlns:a16="http://schemas.microsoft.com/office/drawing/2014/main" pred="{3116998E-59E2-F797-9E52-FDC3F2F4338A}"/>
            </a:ext>
          </a:extLst>
        </xdr:cNvPr>
        <xdr:cNvSpPr txBox="1"/>
      </xdr:nvSpPr>
      <xdr:spPr>
        <a:xfrm>
          <a:off x="2771775" y="4819650"/>
          <a:ext cx="1514475" cy="30480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000" b="1" i="0" u="none" strike="noStrike">
              <a:solidFill>
                <a:schemeClr val="bg2">
                  <a:lumMod val="50000"/>
                </a:schemeClr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Saídas</a:t>
          </a:r>
        </a:p>
      </xdr:txBody>
    </xdr:sp>
    <xdr:clientData/>
  </xdr:twoCellAnchor>
  <xdr:twoCellAnchor>
    <xdr:from>
      <xdr:col>2</xdr:col>
      <xdr:colOff>76200</xdr:colOff>
      <xdr:row>1</xdr:row>
      <xdr:rowOff>171450</xdr:rowOff>
    </xdr:from>
    <xdr:to>
      <xdr:col>7</xdr:col>
      <xdr:colOff>571500</xdr:colOff>
      <xdr:row>6</xdr:row>
      <xdr:rowOff>85725</xdr:rowOff>
    </xdr:to>
    <xdr:sp macro="" textlink="">
      <xdr:nvSpPr>
        <xdr:cNvPr id="5" name="Retângulo Arredondado 4">
          <a:extLst>
            <a:ext uri="{FF2B5EF4-FFF2-40B4-BE49-F238E27FC236}">
              <a16:creationId xmlns:a16="http://schemas.microsoft.com/office/drawing/2014/main" id="{E690B5B6-F44B-4021-A293-E9CDDDB9C0BC}"/>
            </a:ext>
            <a:ext uri="{147F2762-F138-4A5C-976F-8EAC2B608ADB}">
              <a16:predDERef xmlns:a16="http://schemas.microsoft.com/office/drawing/2014/main" pred="{E7699712-3D0B-4BCA-A266-F0A3C3DAE04F}"/>
            </a:ext>
          </a:extLst>
        </xdr:cNvPr>
        <xdr:cNvSpPr/>
      </xdr:nvSpPr>
      <xdr:spPr>
        <a:xfrm>
          <a:off x="1295400" y="361950"/>
          <a:ext cx="3543300" cy="866775"/>
        </a:xfrm>
        <a:prstGeom prst="roundRect">
          <a:avLst/>
        </a:prstGeom>
        <a:solidFill>
          <a:srgbClr val="FFFF00">
            <a:alpha val="27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</xdr:col>
      <xdr:colOff>247650</xdr:colOff>
      <xdr:row>2</xdr:row>
      <xdr:rowOff>38100</xdr:rowOff>
    </xdr:from>
    <xdr:to>
      <xdr:col>8</xdr:col>
      <xdr:colOff>266700</xdr:colOff>
      <xdr:row>4</xdr:row>
      <xdr:rowOff>28575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42AEFA4-B951-430B-8C02-36ED895F0D6F}"/>
            </a:ext>
            <a:ext uri="{147F2762-F138-4A5C-976F-8EAC2B608ADB}">
              <a16:predDERef xmlns:a16="http://schemas.microsoft.com/office/drawing/2014/main" pred="{E690B5B6-F44B-4021-A293-E9CDDDB9C0BC}"/>
            </a:ext>
          </a:extLst>
        </xdr:cNvPr>
        <xdr:cNvSpPr txBox="1"/>
      </xdr:nvSpPr>
      <xdr:spPr>
        <a:xfrm>
          <a:off x="2076450" y="419100"/>
          <a:ext cx="3067050" cy="371475"/>
        </a:xfrm>
        <a:prstGeom prst="rect">
          <a:avLst/>
        </a:prstGeom>
        <a:noFill/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000" b="1" i="0" u="none" strike="noStrike">
              <a:solidFill>
                <a:schemeClr val="bg2">
                  <a:lumMod val="50000"/>
                </a:schemeClr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Olá, Ingrid</a:t>
          </a:r>
        </a:p>
      </xdr:txBody>
    </xdr:sp>
    <xdr:clientData/>
  </xdr:twoCellAnchor>
  <xdr:twoCellAnchor>
    <xdr:from>
      <xdr:col>3</xdr:col>
      <xdr:colOff>114300</xdr:colOff>
      <xdr:row>4</xdr:row>
      <xdr:rowOff>66675</xdr:rowOff>
    </xdr:from>
    <xdr:to>
      <xdr:col>7</xdr:col>
      <xdr:colOff>419100</xdr:colOff>
      <xdr:row>6</xdr:row>
      <xdr:rowOff>57150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BF8655E-719F-4DD8-9782-BC33B964FA07}"/>
            </a:ext>
            <a:ext uri="{147F2762-F138-4A5C-976F-8EAC2B608ADB}">
              <a16:predDERef xmlns:a16="http://schemas.microsoft.com/office/drawing/2014/main" pred="{C42AEFA4-B951-430B-8C02-36ED895F0D6F}"/>
            </a:ext>
          </a:extLst>
        </xdr:cNvPr>
        <xdr:cNvSpPr txBox="1"/>
      </xdr:nvSpPr>
      <xdr:spPr>
        <a:xfrm>
          <a:off x="1943100" y="828675"/>
          <a:ext cx="2743200" cy="371475"/>
        </a:xfrm>
        <a:prstGeom prst="rect">
          <a:avLst/>
        </a:prstGeom>
        <a:noFill/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1" i="0" u="none" strike="noStrike">
              <a:solidFill>
                <a:schemeClr val="bg2">
                  <a:lumMod val="50000"/>
                </a:schemeClr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Controle Financeiro</a:t>
          </a:r>
        </a:p>
      </xdr:txBody>
    </xdr:sp>
    <xdr:clientData/>
  </xdr:twoCellAnchor>
  <xdr:twoCellAnchor>
    <xdr:from>
      <xdr:col>2</xdr:col>
      <xdr:colOff>552450</xdr:colOff>
      <xdr:row>4</xdr:row>
      <xdr:rowOff>95250</xdr:rowOff>
    </xdr:from>
    <xdr:to>
      <xdr:col>3</xdr:col>
      <xdr:colOff>114300</xdr:colOff>
      <xdr:row>5</xdr:row>
      <xdr:rowOff>95250</xdr:rowOff>
    </xdr:to>
    <xdr:sp macro="" textlink="">
      <xdr:nvSpPr>
        <xdr:cNvPr id="18" name="Estrela de 4 Pontas 17">
          <a:extLst>
            <a:ext uri="{FF2B5EF4-FFF2-40B4-BE49-F238E27FC236}">
              <a16:creationId xmlns:a16="http://schemas.microsoft.com/office/drawing/2014/main" id="{FD7796A5-E6CE-4823-B2CE-13BFAF4D05B5}"/>
            </a:ext>
            <a:ext uri="{147F2762-F138-4A5C-976F-8EAC2B608ADB}">
              <a16:predDERef xmlns:a16="http://schemas.microsoft.com/office/drawing/2014/main" pred="{7BF8655E-719F-4DD8-9782-BC33B964FA07}"/>
            </a:ext>
          </a:extLst>
        </xdr:cNvPr>
        <xdr:cNvSpPr/>
      </xdr:nvSpPr>
      <xdr:spPr>
        <a:xfrm>
          <a:off x="1771650" y="857250"/>
          <a:ext cx="171450" cy="190500"/>
        </a:xfrm>
        <a:prstGeom prst="star4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6</xdr:col>
      <xdr:colOff>533400</xdr:colOff>
      <xdr:row>4</xdr:row>
      <xdr:rowOff>104775</xdr:rowOff>
    </xdr:from>
    <xdr:to>
      <xdr:col>7</xdr:col>
      <xdr:colOff>95250</xdr:colOff>
      <xdr:row>5</xdr:row>
      <xdr:rowOff>104775</xdr:rowOff>
    </xdr:to>
    <xdr:sp macro="" textlink="">
      <xdr:nvSpPr>
        <xdr:cNvPr id="19" name="Estrela de 4 Pontas 18">
          <a:extLst>
            <a:ext uri="{FF2B5EF4-FFF2-40B4-BE49-F238E27FC236}">
              <a16:creationId xmlns:a16="http://schemas.microsoft.com/office/drawing/2014/main" id="{0C81FF5D-BCBC-4883-9B1C-65CBE1BF9C47}"/>
            </a:ext>
            <a:ext uri="{147F2762-F138-4A5C-976F-8EAC2B608ADB}">
              <a16:predDERef xmlns:a16="http://schemas.microsoft.com/office/drawing/2014/main" pred="{FD7796A5-E6CE-4823-B2CE-13BFAF4D05B5}"/>
            </a:ext>
          </a:extLst>
        </xdr:cNvPr>
        <xdr:cNvSpPr/>
      </xdr:nvSpPr>
      <xdr:spPr>
        <a:xfrm>
          <a:off x="4191000" y="866775"/>
          <a:ext cx="171450" cy="190500"/>
        </a:xfrm>
        <a:prstGeom prst="star4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190500</xdr:colOff>
      <xdr:row>0</xdr:row>
      <xdr:rowOff>161925</xdr:rowOff>
    </xdr:from>
    <xdr:to>
      <xdr:col>0</xdr:col>
      <xdr:colOff>1781175</xdr:colOff>
      <xdr:row>5</xdr:row>
      <xdr:rowOff>123825</xdr:rowOff>
    </xdr:to>
    <xdr:sp macro="" textlink="">
      <xdr:nvSpPr>
        <xdr:cNvPr id="20" name="Retângulo Arredondado 19">
          <a:extLst>
            <a:ext uri="{FF2B5EF4-FFF2-40B4-BE49-F238E27FC236}">
              <a16:creationId xmlns:a16="http://schemas.microsoft.com/office/drawing/2014/main" id="{3FBDDF75-E658-447B-A9F7-C5C75299E2DB}"/>
            </a:ext>
            <a:ext uri="{147F2762-F138-4A5C-976F-8EAC2B608ADB}">
              <a16:predDERef xmlns:a16="http://schemas.microsoft.com/office/drawing/2014/main" pred="{0C81FF5D-BCBC-4883-9B1C-65CBE1BF9C47}"/>
            </a:ext>
          </a:extLst>
        </xdr:cNvPr>
        <xdr:cNvSpPr/>
      </xdr:nvSpPr>
      <xdr:spPr>
        <a:xfrm>
          <a:off x="190500" y="161925"/>
          <a:ext cx="1590675" cy="914400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228600</xdr:colOff>
      <xdr:row>2</xdr:row>
      <xdr:rowOff>76200</xdr:rowOff>
    </xdr:from>
    <xdr:to>
      <xdr:col>0</xdr:col>
      <xdr:colOff>1809750</xdr:colOff>
      <xdr:row>4</xdr:row>
      <xdr:rowOff>95250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4B85E70-E127-419E-BF94-A6B2B2610BC8}"/>
            </a:ext>
            <a:ext uri="{147F2762-F138-4A5C-976F-8EAC2B608ADB}">
              <a16:predDERef xmlns:a16="http://schemas.microsoft.com/office/drawing/2014/main" pred="{3FBDDF75-E658-447B-A9F7-C5C75299E2DB}"/>
            </a:ext>
          </a:extLst>
        </xdr:cNvPr>
        <xdr:cNvSpPr txBox="1"/>
      </xdr:nvSpPr>
      <xdr:spPr>
        <a:xfrm>
          <a:off x="228600" y="457200"/>
          <a:ext cx="1581150" cy="400050"/>
        </a:xfrm>
        <a:prstGeom prst="rect">
          <a:avLst/>
        </a:prstGeom>
        <a:noFill/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 i="0" u="none" strike="noStrike">
              <a:solidFill>
                <a:srgbClr val="000000"/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FinUP App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5</xdr:row>
      <xdr:rowOff>0</xdr:rowOff>
    </xdr:from>
    <xdr:to>
      <xdr:col>13</xdr:col>
      <xdr:colOff>0</xdr:colOff>
      <xdr:row>19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DEB8EBE-821F-78D0-77D7-9FDFB68FE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669.895130671299" createdVersion="8" refreshedVersion="8" minRefreshableVersion="3" recordCount="44" xr:uid="{80673874-5532-45B2-8F6E-6A38D6D6B2BC}">
  <cacheSource type="worksheet">
    <worksheetSource ref="A1:H45" sheet="Data"/>
  </cacheSource>
  <cacheFields count="8">
    <cacheField name="Data" numFmtId="14">
      <sharedItems containsSemiMixedTypes="0" containsNonDate="0" containsDate="1" containsString="0" minDate="2024-08-01T00:00:00" maxDate="2024-11-01T00:00:00"/>
    </cacheField>
    <cacheField name="Mês" numFmtId="1">
      <sharedItems containsSemiMixedTypes="0" containsString="0" containsNumber="1" containsInteger="1" minValue="8" maxValue="10" count="3">
        <n v="8"/>
        <n v="9"/>
        <n v="10"/>
      </sharedItems>
    </cacheField>
    <cacheField name="Tipo" numFmtId="0">
      <sharedItems count="2">
        <s v="ENTRADA"/>
        <s v="SAÍDA"/>
      </sharedItems>
    </cacheField>
    <cacheField name="Categoria" numFmtId="0">
      <sharedItems count="19">
        <s v="Renda Fixa"/>
        <s v="Alimentação"/>
        <s v="Transporte"/>
        <s v="Lazer"/>
        <s v="Saúde"/>
        <s v="Educação"/>
        <s v="Vestuário"/>
        <s v="Investimentos"/>
        <s v="Serviços"/>
        <s v="Eletrônicos"/>
        <s v="Utilidades Domésticas"/>
        <s v="Presentes"/>
        <s v="Beleza"/>
        <s v="Pet Care"/>
        <s v="Viagem"/>
        <s v="Gastronomia"/>
        <s v="Freelance"/>
        <s v="Utilidades Dom."/>
        <s v="Venda de ativos"/>
      </sharedItems>
    </cacheField>
    <cacheField name="Descrição" numFmtId="0">
      <sharedItems/>
    </cacheField>
    <cacheField name="Valor" numFmtId="44">
      <sharedItems containsSemiMixedTypes="0" containsString="0" containsNumber="1" containsInteger="1" minValue="80" maxValue="5000"/>
    </cacheField>
    <cacheField name="Operação Bancária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 pivotCacheId="764555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d v="2024-08-01T00:00:00"/>
    <x v="0"/>
    <x v="0"/>
    <x v="0"/>
    <s v="Salário mensal"/>
    <n v="5000"/>
    <s v="Transferência"/>
    <s v="Recebido"/>
  </r>
  <r>
    <d v="2024-08-01T00:00:00"/>
    <x v="0"/>
    <x v="1"/>
    <x v="1"/>
    <s v="Compras no supermercado"/>
    <n v="550"/>
    <s v="Débito Automático"/>
    <s v="Pendente"/>
  </r>
  <r>
    <d v="2024-08-03T00:00:00"/>
    <x v="0"/>
    <x v="1"/>
    <x v="2"/>
    <s v="Gasolina"/>
    <n v="300"/>
    <s v="Cartão de Crédito"/>
    <s v="Pago"/>
  </r>
  <r>
    <d v="2024-08-05T00:00:00"/>
    <x v="0"/>
    <x v="1"/>
    <x v="3"/>
    <s v="Cinema"/>
    <n v="120"/>
    <s v="Cartão de Crédito"/>
    <s v="Pago"/>
  </r>
  <r>
    <d v="2024-08-07T00:00:00"/>
    <x v="0"/>
    <x v="1"/>
    <x v="4"/>
    <s v="Consulta odontológica"/>
    <n v="250"/>
    <s v="Transferência"/>
    <s v="Pago"/>
  </r>
  <r>
    <d v="2024-08-10T00:00:00"/>
    <x v="0"/>
    <x v="1"/>
    <x v="5"/>
    <s v="Material escolar"/>
    <n v="400"/>
    <s v="Débito Automático"/>
    <s v="Pendente"/>
  </r>
  <r>
    <d v="2024-08-12T00:00:00"/>
    <x v="0"/>
    <x v="1"/>
    <x v="6"/>
    <s v="Compra de roupas de inverno"/>
    <n v="600"/>
    <s v="Cartão de Crédito"/>
    <s v="Pendente"/>
  </r>
  <r>
    <d v="2024-08-15T00:00:00"/>
    <x v="0"/>
    <x v="0"/>
    <x v="7"/>
    <s v="Dividendos de ações"/>
    <n v="800"/>
    <s v="Transferência"/>
    <s v="Recebido"/>
  </r>
  <r>
    <d v="2024-08-15T00:00:00"/>
    <x v="0"/>
    <x v="1"/>
    <x v="8"/>
    <s v="Limpeza do apartamento"/>
    <n v="150"/>
    <s v="Transferência"/>
    <s v="Pago"/>
  </r>
  <r>
    <d v="2024-08-18T00:00:00"/>
    <x v="0"/>
    <x v="1"/>
    <x v="9"/>
    <s v="Compra de novo celular"/>
    <n v="1200"/>
    <s v="Cartão de Crédito"/>
    <s v="Pendente"/>
  </r>
  <r>
    <d v="2024-08-20T00:00:00"/>
    <x v="0"/>
    <x v="1"/>
    <x v="10"/>
    <s v="Reparos domésticos"/>
    <n v="450"/>
    <s v="Débito Automático"/>
    <s v="Pago"/>
  </r>
  <r>
    <d v="2024-08-22T00:00:00"/>
    <x v="0"/>
    <x v="1"/>
    <x v="11"/>
    <s v="Presente de aniversário"/>
    <n v="180"/>
    <s v="Transferência"/>
    <s v="Pendente"/>
  </r>
  <r>
    <d v="2024-08-24T00:00:00"/>
    <x v="0"/>
    <x v="1"/>
    <x v="12"/>
    <s v="Corte de cabelo e barba"/>
    <n v="80"/>
    <s v="Débito Automático"/>
    <s v="Pago"/>
  </r>
  <r>
    <d v="2024-08-28T00:00:00"/>
    <x v="0"/>
    <x v="1"/>
    <x v="13"/>
    <s v="Ração e petiscos para o cachorro"/>
    <n v="200"/>
    <s v="Débito Automático"/>
    <s v="Pago"/>
  </r>
  <r>
    <d v="2024-08-30T00:00:00"/>
    <x v="0"/>
    <x v="1"/>
    <x v="14"/>
    <s v="Reserva de pousada"/>
    <n v="750"/>
    <s v="Transferência"/>
    <s v="Pendente"/>
  </r>
  <r>
    <d v="2024-08-31T00:00:00"/>
    <x v="0"/>
    <x v="1"/>
    <x v="15"/>
    <s v="Jantar em restaurante francês"/>
    <n v="350"/>
    <s v="Cartão de Crédito"/>
    <s v="Pago"/>
  </r>
  <r>
    <d v="2024-09-01T00:00:00"/>
    <x v="1"/>
    <x v="0"/>
    <x v="0"/>
    <s v="Salário mensal"/>
    <n v="5000"/>
    <s v="Transferência"/>
    <s v="Recebido"/>
  </r>
  <r>
    <d v="2024-09-02T00:00:00"/>
    <x v="1"/>
    <x v="1"/>
    <x v="1"/>
    <s v="Compras no supermercado"/>
    <n v="450"/>
    <s v="Débito Automático"/>
    <s v="Pendente"/>
  </r>
  <r>
    <d v="2024-09-05T00:00:00"/>
    <x v="1"/>
    <x v="1"/>
    <x v="2"/>
    <s v="Gasolina"/>
    <n v="300"/>
    <s v="Débito Automático"/>
    <s v="Pago"/>
  </r>
  <r>
    <d v="2024-09-08T00:00:00"/>
    <x v="1"/>
    <x v="1"/>
    <x v="3"/>
    <s v="Cinema e jantar"/>
    <n v="200"/>
    <s v="Transferência"/>
    <s v="Pago"/>
  </r>
  <r>
    <d v="2024-09-11T00:00:00"/>
    <x v="1"/>
    <x v="1"/>
    <x v="4"/>
    <s v="Plano de saúde"/>
    <n v="600"/>
    <s v="Débito Automático"/>
    <s v="Pendente"/>
  </r>
  <r>
    <d v="2024-09-14T00:00:00"/>
    <x v="1"/>
    <x v="1"/>
    <x v="5"/>
    <s v="Material escolar"/>
    <n v="350"/>
    <s v="Transferência"/>
    <s v="Pago"/>
  </r>
  <r>
    <d v="2024-09-17T00:00:00"/>
    <x v="1"/>
    <x v="1"/>
    <x v="6"/>
    <s v="Compra de roupas"/>
    <n v="500"/>
    <s v="Cartão de Crédito"/>
    <s v="Pendente"/>
  </r>
  <r>
    <d v="2024-09-20T00:00:00"/>
    <x v="1"/>
    <x v="0"/>
    <x v="16"/>
    <s v="Pagamento por projeto freelancer"/>
    <n v="1200"/>
    <s v="Transferência"/>
    <s v="Recebido"/>
  </r>
  <r>
    <d v="2024-09-20T00:00:00"/>
    <x v="1"/>
    <x v="1"/>
    <x v="8"/>
    <s v="Manutenção do veículo"/>
    <n v="800"/>
    <s v="Transferência"/>
    <s v="Pago"/>
  </r>
  <r>
    <d v="2024-09-23T00:00:00"/>
    <x v="1"/>
    <x v="1"/>
    <x v="9"/>
    <s v="Compra de novo smartphone"/>
    <n v="1500"/>
    <s v="Cartão de Crédito"/>
    <s v="Pendente"/>
  </r>
  <r>
    <d v="2024-09-26T00:00:00"/>
    <x v="1"/>
    <x v="1"/>
    <x v="17"/>
    <s v="Conta de energia elétrica"/>
    <n v="250"/>
    <s v="Débito Automático"/>
    <s v="Pago"/>
  </r>
  <r>
    <d v="2024-09-29T00:00:00"/>
    <x v="1"/>
    <x v="1"/>
    <x v="11"/>
    <s v="Aniversário da mãe"/>
    <n v="400"/>
    <s v="Cartão de Crédito"/>
    <s v="Pendente"/>
  </r>
  <r>
    <d v="2024-10-01T00:00:00"/>
    <x v="2"/>
    <x v="0"/>
    <x v="0"/>
    <s v="Salário mensal"/>
    <n v="5000"/>
    <s v="Transferência"/>
    <s v="Recebido"/>
  </r>
  <r>
    <d v="2024-10-01T00:00:00"/>
    <x v="2"/>
    <x v="1"/>
    <x v="1"/>
    <s v="Compras no supermercado"/>
    <n v="600"/>
    <s v="Débito Automático"/>
    <s v="Pendente"/>
  </r>
  <r>
    <d v="2024-10-03T00:00:00"/>
    <x v="2"/>
    <x v="1"/>
    <x v="2"/>
    <s v="Recarga de cartão de transporte"/>
    <n v="200"/>
    <s v="Cartão de Crédito"/>
    <s v="Pago"/>
  </r>
  <r>
    <d v="2024-10-05T00:00:00"/>
    <x v="2"/>
    <x v="1"/>
    <x v="3"/>
    <s v="Ingressos para teatro"/>
    <n v="180"/>
    <s v="Transferência"/>
    <s v="Pago"/>
  </r>
  <r>
    <d v="2024-10-08T00:00:00"/>
    <x v="2"/>
    <x v="1"/>
    <x v="4"/>
    <s v="Remédios de farmácia"/>
    <n v="120"/>
    <s v="Débito Automático"/>
    <s v="Pendente"/>
  </r>
  <r>
    <d v="2024-10-10T00:00:00"/>
    <x v="2"/>
    <x v="1"/>
    <x v="5"/>
    <s v="Cursos online"/>
    <n v="350"/>
    <s v="Cartão de Crédito"/>
    <s v="Pendente"/>
  </r>
  <r>
    <d v="2024-10-13T00:00:00"/>
    <x v="2"/>
    <x v="1"/>
    <x v="6"/>
    <s v="Roupas de primavera"/>
    <n v="400"/>
    <s v="Transferência"/>
    <s v="Pago"/>
  </r>
  <r>
    <d v="2024-10-15T00:00:00"/>
    <x v="2"/>
    <x v="1"/>
    <x v="8"/>
    <s v="Manutenção da casa"/>
    <n v="450"/>
    <s v="Débito Automático"/>
    <s v="Pago"/>
  </r>
  <r>
    <d v="2024-10-18T00:00:00"/>
    <x v="2"/>
    <x v="0"/>
    <x v="18"/>
    <s v="Venda de equipamentos eletrônicos"/>
    <n v="1500"/>
    <s v="Transferência"/>
    <s v="Recebido"/>
  </r>
  <r>
    <d v="2024-10-18T00:00:00"/>
    <x v="2"/>
    <x v="1"/>
    <x v="9"/>
    <s v="Manutenção do computador"/>
    <n v="300"/>
    <s v="Cartão de Crédito"/>
    <s v="Pendente"/>
  </r>
  <r>
    <d v="2024-10-20T00:00:00"/>
    <x v="2"/>
    <x v="1"/>
    <x v="10"/>
    <s v="Troca de móveis da cozinha"/>
    <n v="800"/>
    <s v="Transferência"/>
    <s v="Pago"/>
  </r>
  <r>
    <d v="2024-10-22T00:00:00"/>
    <x v="2"/>
    <x v="1"/>
    <x v="11"/>
    <s v="Presentes para casamento"/>
    <n v="250"/>
    <s v="Cartão de Crédito"/>
    <s v="Pendente"/>
  </r>
  <r>
    <d v="2024-10-24T00:00:00"/>
    <x v="2"/>
    <x v="1"/>
    <x v="13"/>
    <s v="Veterinário para o pet"/>
    <n v="150"/>
    <s v="Débito Automático"/>
    <s v="Pago"/>
  </r>
  <r>
    <d v="2024-10-26T00:00:00"/>
    <x v="2"/>
    <x v="1"/>
    <x v="12"/>
    <s v="Salão de beleza"/>
    <n v="250"/>
    <s v="Transferência"/>
    <s v="Pendente"/>
  </r>
  <r>
    <d v="2024-10-30T00:00:00"/>
    <x v="2"/>
    <x v="1"/>
    <x v="15"/>
    <s v="Jantar em restaurante italiano"/>
    <n v="220"/>
    <s v="Transferência"/>
    <s v="Pendente"/>
  </r>
  <r>
    <d v="2024-10-31T00:00:00"/>
    <x v="2"/>
    <x v="1"/>
    <x v="14"/>
    <s v="Reserva de hotel para fim de semana"/>
    <n v="500"/>
    <s v="Cartão de Crédito"/>
    <s v="Penden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785BCF-6377-4FAA-BBC5-FDD057CFB6E7}" name="Tabela dinâmica2" cacheId="99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9">
  <location ref="E6:F11" firstHeaderRow="1" firstDataRow="1" firstDataCol="1" rowPageCount="1" colPageCount="1"/>
  <pivotFields count="8">
    <pivotField compact="0" numFmtId="14" outline="0" showAll="0"/>
    <pivotField compact="0" numFmtId="1" outline="0" showAll="0">
      <items count="4">
        <item x="0"/>
        <item x="1"/>
        <item x="2"/>
        <item t="default"/>
      </items>
    </pivotField>
    <pivotField axis="axisPage" compact="0" outline="0" showAll="0">
      <items count="3">
        <item x="0"/>
        <item h="1" x="1"/>
        <item t="default"/>
      </items>
    </pivotField>
    <pivotField axis="axisRow" compact="0" outline="0" showAll="0">
      <items count="20">
        <item x="1"/>
        <item x="12"/>
        <item x="5"/>
        <item x="9"/>
        <item x="16"/>
        <item x="15"/>
        <item x="7"/>
        <item x="3"/>
        <item x="13"/>
        <item x="11"/>
        <item x="0"/>
        <item x="4"/>
        <item x="8"/>
        <item x="2"/>
        <item x="17"/>
        <item x="10"/>
        <item x="18"/>
        <item x="6"/>
        <item x="14"/>
        <item t="default"/>
      </items>
    </pivotField>
    <pivotField compact="0" outline="0" showAll="0"/>
    <pivotField dataField="1" compact="0" numFmtId="44" outline="0" showAll="0"/>
    <pivotField compact="0" outline="0" showAll="0"/>
    <pivotField compact="0" outline="0" showAll="0"/>
  </pivotFields>
  <rowFields count="1">
    <field x="3"/>
  </rowFields>
  <rowItems count="5">
    <i>
      <x v="4"/>
    </i>
    <i>
      <x v="6"/>
    </i>
    <i>
      <x v="10"/>
    </i>
    <i>
      <x v="16"/>
    </i>
    <i t="grand">
      <x/>
    </i>
  </rowItems>
  <colItems count="1">
    <i/>
  </colItems>
  <pageFields count="1">
    <pageField fld="2" item="0" hier="-1"/>
  </pageFields>
  <dataFields count="1">
    <dataField name="Soma de Valor" fld="5" baseField="0" baseItem="0" numFmtId="44"/>
  </dataFields>
  <formats count="4">
    <format dxfId="6">
      <pivotArea field="3" type="button" dataOnly="0" labelOnly="1" outline="0" axis="axisRow" fieldPosition="0"/>
    </format>
    <format dxfId="7">
      <pivotArea dataOnly="0" labelOnly="1" outline="0" axis="axisValues" fieldPosition="0"/>
    </format>
    <format dxfId="8">
      <pivotArea field="3" type="button" dataOnly="0" labelOnly="1" outline="0" axis="axisRow" fieldPosition="0"/>
    </format>
    <format dxfId="9">
      <pivotArea dataOnly="0" labelOnly="1" outline="0" axis="axisValues" fieldPosition="0"/>
    </format>
  </formats>
  <chartFormats count="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E38258-AF7B-4A52-ABC1-CBC1D9463DDA}" name="Tabela dinâmica1" cacheId="99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A6:B22" firstHeaderRow="1" firstDataRow="1" firstDataCol="1" rowPageCount="1" colPageCount="1"/>
  <pivotFields count="8">
    <pivotField compact="0" numFmtId="14" outline="0" showAll="0"/>
    <pivotField compact="0" numFmtId="1" outline="0" showAll="0">
      <items count="4">
        <item x="0"/>
        <item x="1"/>
        <item x="2"/>
        <item t="default"/>
      </items>
    </pivotField>
    <pivotField axis="axisPage" compact="0" outline="0" showAll="0">
      <items count="3">
        <item h="1" x="0"/>
        <item x="1"/>
        <item t="default"/>
      </items>
    </pivotField>
    <pivotField axis="axisRow" compact="0" outline="0" showAll="0">
      <items count="20">
        <item x="1"/>
        <item x="12"/>
        <item x="5"/>
        <item x="9"/>
        <item x="16"/>
        <item x="15"/>
        <item x="7"/>
        <item x="3"/>
        <item x="13"/>
        <item x="11"/>
        <item x="0"/>
        <item x="4"/>
        <item x="8"/>
        <item x="2"/>
        <item x="17"/>
        <item x="10"/>
        <item x="18"/>
        <item x="6"/>
        <item x="14"/>
        <item t="default"/>
      </items>
    </pivotField>
    <pivotField compact="0" outline="0" showAll="0"/>
    <pivotField dataField="1" compact="0" numFmtId="44" outline="0" showAll="0"/>
    <pivotField compact="0" outline="0" showAll="0"/>
    <pivotField compact="0" outline="0" showAll="0"/>
  </pivotFields>
  <rowFields count="1">
    <field x="3"/>
  </rowFields>
  <rowItems count="16">
    <i>
      <x/>
    </i>
    <i>
      <x v="1"/>
    </i>
    <i>
      <x v="2"/>
    </i>
    <i>
      <x v="3"/>
    </i>
    <i>
      <x v="5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7"/>
    </i>
    <i>
      <x v="18"/>
    </i>
    <i t="grand">
      <x/>
    </i>
  </rowItems>
  <colItems count="1">
    <i/>
  </colItems>
  <pageFields count="1">
    <pageField fld="2" item="1" hier="-1"/>
  </pageFields>
  <dataFields count="1">
    <dataField name="Soma de Valor" fld="5" baseField="0" baseItem="0" numFmtId="44"/>
  </dataFields>
  <formats count="6">
    <format dxfId="0">
      <pivotArea field="3" type="button" dataOnly="0" labelOnly="1" outline="0" axis="axisRow" fieldPosition="0"/>
    </format>
    <format dxfId="1">
      <pivotArea dataOnly="0" labelOnly="1" outline="0" axis="axisValues" fieldPosition="0"/>
    </format>
    <format dxfId="2">
      <pivotArea field="3" type="button" dataOnly="0" labelOnly="1" outline="0" axis="axisRow" fieldPosition="0"/>
    </format>
    <format dxfId="3">
      <pivotArea dataOnly="0" labelOnly="1" outline="0" axis="axisValues" fieldPosition="0"/>
    </format>
    <format dxfId="4">
      <pivotArea field="3" type="button" dataOnly="0" labelOnly="1" outline="0" axis="axisRow" fieldPosition="0"/>
    </format>
    <format dxfId="5">
      <pivotArea dataOnly="0" labelOnly="1" outline="0" axis="axisValues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32BBC6B9-7F93-4C3C-AD31-D0185648D9D9}" sourceName="Mês">
  <pivotTables>
    <pivotTable tabId="3" name="Tabela dinâmica1"/>
    <pivotTable tabId="3" name="Tabela dinâmica2"/>
  </pivotTables>
  <data>
    <tabular pivotCacheId="7645557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E6B42EF7-0286-41F2-8B06-2422F29D8D66}" cache="SegmentaçãodeDados_Mês" caption="Mês" style="SlicerStyleLight2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89999084444715716"/>
  </sheetPr>
  <dimension ref="A1:H45"/>
  <sheetViews>
    <sheetView workbookViewId="0">
      <selection activeCell="B1" sqref="B1"/>
    </sheetView>
  </sheetViews>
  <sheetFormatPr defaultRowHeight="16.5" customHeight="1"/>
  <cols>
    <col min="1" max="1" width="10.85546875" customWidth="1"/>
    <col min="2" max="2" width="10.85546875" style="13" customWidth="1"/>
    <col min="4" max="4" width="15.140625" customWidth="1"/>
    <col min="5" max="5" width="9.42578125" bestFit="1" customWidth="1"/>
    <col min="6" max="6" width="12" customWidth="1"/>
    <col min="7" max="7" width="17.140625" bestFit="1" customWidth="1"/>
    <col min="8" max="8" width="9" bestFit="1" customWidth="1"/>
  </cols>
  <sheetData>
    <row r="1" spans="1:8" ht="16.5" customHeight="1">
      <c r="A1" s="7" t="s">
        <v>0</v>
      </c>
      <c r="B1" s="11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ht="16.5" customHeight="1">
      <c r="A2" s="1">
        <v>45505</v>
      </c>
      <c r="B2" s="12">
        <f>MONTH(A2)</f>
        <v>8</v>
      </c>
      <c r="C2" s="2" t="s">
        <v>8</v>
      </c>
      <c r="D2" s="2" t="s">
        <v>9</v>
      </c>
      <c r="E2" s="2" t="s">
        <v>10</v>
      </c>
      <c r="F2" s="3">
        <v>5000</v>
      </c>
      <c r="G2" s="2" t="s">
        <v>11</v>
      </c>
      <c r="H2" s="2" t="s">
        <v>12</v>
      </c>
    </row>
    <row r="3" spans="1:8" ht="16.5" customHeight="1">
      <c r="A3" s="1">
        <v>45505</v>
      </c>
      <c r="B3" s="12">
        <f t="shared" ref="B3:B45" si="0">MONTH(A3)</f>
        <v>8</v>
      </c>
      <c r="C3" s="2" t="s">
        <v>13</v>
      </c>
      <c r="D3" s="2" t="s">
        <v>14</v>
      </c>
      <c r="E3" s="2" t="s">
        <v>15</v>
      </c>
      <c r="F3" s="3">
        <v>550</v>
      </c>
      <c r="G3" s="2" t="s">
        <v>16</v>
      </c>
      <c r="H3" s="2" t="s">
        <v>17</v>
      </c>
    </row>
    <row r="4" spans="1:8" ht="16.5" customHeight="1">
      <c r="A4" s="1">
        <v>45507</v>
      </c>
      <c r="B4" s="12">
        <f t="shared" si="0"/>
        <v>8</v>
      </c>
      <c r="C4" s="2" t="s">
        <v>13</v>
      </c>
      <c r="D4" s="2" t="s">
        <v>18</v>
      </c>
      <c r="E4" s="2" t="s">
        <v>19</v>
      </c>
      <c r="F4" s="3">
        <v>300</v>
      </c>
      <c r="G4" s="2" t="s">
        <v>20</v>
      </c>
      <c r="H4" s="2" t="s">
        <v>21</v>
      </c>
    </row>
    <row r="5" spans="1:8" ht="16.5" customHeight="1">
      <c r="A5" s="1">
        <v>45509</v>
      </c>
      <c r="B5" s="12">
        <f t="shared" si="0"/>
        <v>8</v>
      </c>
      <c r="C5" s="2" t="s">
        <v>13</v>
      </c>
      <c r="D5" s="2" t="s">
        <v>22</v>
      </c>
      <c r="E5" s="2" t="s">
        <v>23</v>
      </c>
      <c r="F5" s="3">
        <v>120</v>
      </c>
      <c r="G5" s="2" t="s">
        <v>20</v>
      </c>
      <c r="H5" s="2" t="s">
        <v>21</v>
      </c>
    </row>
    <row r="6" spans="1:8" ht="16.5" customHeight="1">
      <c r="A6" s="1">
        <v>45511</v>
      </c>
      <c r="B6" s="12">
        <f t="shared" si="0"/>
        <v>8</v>
      </c>
      <c r="C6" s="2" t="s">
        <v>13</v>
      </c>
      <c r="D6" s="2" t="s">
        <v>24</v>
      </c>
      <c r="E6" s="2" t="s">
        <v>25</v>
      </c>
      <c r="F6" s="3">
        <v>250</v>
      </c>
      <c r="G6" s="2" t="s">
        <v>11</v>
      </c>
      <c r="H6" s="2" t="s">
        <v>21</v>
      </c>
    </row>
    <row r="7" spans="1:8" ht="16.5" customHeight="1">
      <c r="A7" s="1">
        <v>45514</v>
      </c>
      <c r="B7" s="12">
        <f t="shared" si="0"/>
        <v>8</v>
      </c>
      <c r="C7" s="2" t="s">
        <v>13</v>
      </c>
      <c r="D7" s="2" t="s">
        <v>26</v>
      </c>
      <c r="E7" s="2" t="s">
        <v>27</v>
      </c>
      <c r="F7" s="3">
        <v>400</v>
      </c>
      <c r="G7" s="2" t="s">
        <v>16</v>
      </c>
      <c r="H7" s="2" t="s">
        <v>17</v>
      </c>
    </row>
    <row r="8" spans="1:8" ht="16.5" customHeight="1">
      <c r="A8" s="1">
        <v>45516</v>
      </c>
      <c r="B8" s="12">
        <f t="shared" si="0"/>
        <v>8</v>
      </c>
      <c r="C8" s="2" t="s">
        <v>13</v>
      </c>
      <c r="D8" s="2" t="s">
        <v>28</v>
      </c>
      <c r="E8" s="2" t="s">
        <v>29</v>
      </c>
      <c r="F8" s="3">
        <v>600</v>
      </c>
      <c r="G8" s="2" t="s">
        <v>20</v>
      </c>
      <c r="H8" s="2" t="s">
        <v>17</v>
      </c>
    </row>
    <row r="9" spans="1:8" ht="16.5" customHeight="1">
      <c r="A9" s="1">
        <v>45519</v>
      </c>
      <c r="B9" s="12">
        <f t="shared" si="0"/>
        <v>8</v>
      </c>
      <c r="C9" s="2" t="s">
        <v>8</v>
      </c>
      <c r="D9" s="2" t="s">
        <v>30</v>
      </c>
      <c r="E9" s="2" t="s">
        <v>31</v>
      </c>
      <c r="F9" s="3">
        <v>800</v>
      </c>
      <c r="G9" s="2" t="s">
        <v>11</v>
      </c>
      <c r="H9" s="2" t="s">
        <v>12</v>
      </c>
    </row>
    <row r="10" spans="1:8" ht="16.5" customHeight="1">
      <c r="A10" s="1">
        <v>45519</v>
      </c>
      <c r="B10" s="12">
        <f t="shared" si="0"/>
        <v>8</v>
      </c>
      <c r="C10" s="2" t="s">
        <v>13</v>
      </c>
      <c r="D10" s="2" t="s">
        <v>32</v>
      </c>
      <c r="E10" s="2" t="s">
        <v>33</v>
      </c>
      <c r="F10" s="3">
        <v>150</v>
      </c>
      <c r="G10" s="2" t="s">
        <v>11</v>
      </c>
      <c r="H10" s="2" t="s">
        <v>21</v>
      </c>
    </row>
    <row r="11" spans="1:8" ht="16.5" customHeight="1">
      <c r="A11" s="1">
        <v>45522</v>
      </c>
      <c r="B11" s="12">
        <f t="shared" si="0"/>
        <v>8</v>
      </c>
      <c r="C11" s="2" t="s">
        <v>13</v>
      </c>
      <c r="D11" s="2" t="s">
        <v>34</v>
      </c>
      <c r="E11" s="2" t="s">
        <v>35</v>
      </c>
      <c r="F11" s="3">
        <v>1200</v>
      </c>
      <c r="G11" s="2" t="s">
        <v>20</v>
      </c>
      <c r="H11" s="2" t="s">
        <v>17</v>
      </c>
    </row>
    <row r="12" spans="1:8" ht="16.5" customHeight="1">
      <c r="A12" s="1">
        <v>45524</v>
      </c>
      <c r="B12" s="12">
        <f t="shared" si="0"/>
        <v>8</v>
      </c>
      <c r="C12" s="2" t="s">
        <v>13</v>
      </c>
      <c r="D12" s="2" t="s">
        <v>36</v>
      </c>
      <c r="E12" s="2" t="s">
        <v>37</v>
      </c>
      <c r="F12" s="3">
        <v>450</v>
      </c>
      <c r="G12" s="2" t="s">
        <v>16</v>
      </c>
      <c r="H12" s="2" t="s">
        <v>21</v>
      </c>
    </row>
    <row r="13" spans="1:8" ht="16.5" customHeight="1">
      <c r="A13" s="1">
        <v>45526</v>
      </c>
      <c r="B13" s="12">
        <f t="shared" si="0"/>
        <v>8</v>
      </c>
      <c r="C13" s="2" t="s">
        <v>13</v>
      </c>
      <c r="D13" s="2" t="s">
        <v>38</v>
      </c>
      <c r="E13" s="2" t="s">
        <v>39</v>
      </c>
      <c r="F13" s="3">
        <v>180</v>
      </c>
      <c r="G13" s="2" t="s">
        <v>11</v>
      </c>
      <c r="H13" s="2" t="s">
        <v>17</v>
      </c>
    </row>
    <row r="14" spans="1:8" ht="16.5" customHeight="1">
      <c r="A14" s="1">
        <v>45528</v>
      </c>
      <c r="B14" s="12">
        <f t="shared" si="0"/>
        <v>8</v>
      </c>
      <c r="C14" s="2" t="s">
        <v>13</v>
      </c>
      <c r="D14" s="2" t="s">
        <v>40</v>
      </c>
      <c r="E14" s="2" t="s">
        <v>41</v>
      </c>
      <c r="F14" s="3">
        <v>80</v>
      </c>
      <c r="G14" s="2" t="s">
        <v>16</v>
      </c>
      <c r="H14" s="2" t="s">
        <v>21</v>
      </c>
    </row>
    <row r="15" spans="1:8" ht="16.5" customHeight="1">
      <c r="A15" s="1">
        <v>45532</v>
      </c>
      <c r="B15" s="12">
        <f t="shared" si="0"/>
        <v>8</v>
      </c>
      <c r="C15" s="2" t="s">
        <v>13</v>
      </c>
      <c r="D15" s="2" t="s">
        <v>42</v>
      </c>
      <c r="E15" s="2" t="s">
        <v>43</v>
      </c>
      <c r="F15" s="3">
        <v>200</v>
      </c>
      <c r="G15" s="2" t="s">
        <v>16</v>
      </c>
      <c r="H15" s="2" t="s">
        <v>21</v>
      </c>
    </row>
    <row r="16" spans="1:8" ht="16.5" customHeight="1">
      <c r="A16" s="1">
        <v>45534</v>
      </c>
      <c r="B16" s="12">
        <f t="shared" si="0"/>
        <v>8</v>
      </c>
      <c r="C16" s="2" t="s">
        <v>13</v>
      </c>
      <c r="D16" s="2" t="s">
        <v>44</v>
      </c>
      <c r="E16" s="2" t="s">
        <v>45</v>
      </c>
      <c r="F16" s="3">
        <v>750</v>
      </c>
      <c r="G16" s="2" t="s">
        <v>11</v>
      </c>
      <c r="H16" s="2" t="s">
        <v>17</v>
      </c>
    </row>
    <row r="17" spans="1:8" ht="16.5" customHeight="1">
      <c r="A17" s="1">
        <v>45535</v>
      </c>
      <c r="B17" s="12">
        <f t="shared" si="0"/>
        <v>8</v>
      </c>
      <c r="C17" s="2" t="s">
        <v>13</v>
      </c>
      <c r="D17" s="2" t="s">
        <v>46</v>
      </c>
      <c r="E17" s="2" t="s">
        <v>47</v>
      </c>
      <c r="F17" s="3">
        <v>350</v>
      </c>
      <c r="G17" s="2" t="s">
        <v>20</v>
      </c>
      <c r="H17" s="2" t="s">
        <v>21</v>
      </c>
    </row>
    <row r="18" spans="1:8" ht="16.5" customHeight="1">
      <c r="A18" s="1">
        <v>45536</v>
      </c>
      <c r="B18" s="12">
        <f t="shared" si="0"/>
        <v>9</v>
      </c>
      <c r="C18" s="2" t="s">
        <v>8</v>
      </c>
      <c r="D18" s="2" t="s">
        <v>9</v>
      </c>
      <c r="E18" s="2" t="s">
        <v>10</v>
      </c>
      <c r="F18" s="3">
        <v>5000</v>
      </c>
      <c r="G18" s="2" t="s">
        <v>11</v>
      </c>
      <c r="H18" s="2" t="s">
        <v>12</v>
      </c>
    </row>
    <row r="19" spans="1:8" ht="16.5" customHeight="1">
      <c r="A19" s="1">
        <v>45537</v>
      </c>
      <c r="B19" s="12">
        <f t="shared" si="0"/>
        <v>9</v>
      </c>
      <c r="C19" s="2" t="s">
        <v>13</v>
      </c>
      <c r="D19" s="2" t="s">
        <v>14</v>
      </c>
      <c r="E19" s="3" t="s">
        <v>15</v>
      </c>
      <c r="F19" s="3">
        <v>450</v>
      </c>
      <c r="G19" s="2" t="s">
        <v>16</v>
      </c>
      <c r="H19" s="2" t="s">
        <v>17</v>
      </c>
    </row>
    <row r="20" spans="1:8" ht="16.5" customHeight="1">
      <c r="A20" s="1">
        <v>45540</v>
      </c>
      <c r="B20" s="12">
        <f t="shared" si="0"/>
        <v>9</v>
      </c>
      <c r="C20" s="2" t="s">
        <v>13</v>
      </c>
      <c r="D20" s="2" t="s">
        <v>18</v>
      </c>
      <c r="E20" s="3" t="s">
        <v>19</v>
      </c>
      <c r="F20" s="3">
        <v>300</v>
      </c>
      <c r="G20" s="2" t="s">
        <v>16</v>
      </c>
      <c r="H20" s="2" t="s">
        <v>21</v>
      </c>
    </row>
    <row r="21" spans="1:8" ht="16.5" customHeight="1">
      <c r="A21" s="1">
        <v>45543</v>
      </c>
      <c r="B21" s="12">
        <f t="shared" si="0"/>
        <v>9</v>
      </c>
      <c r="C21" s="2" t="s">
        <v>13</v>
      </c>
      <c r="D21" s="2" t="s">
        <v>22</v>
      </c>
      <c r="E21" s="3" t="s">
        <v>48</v>
      </c>
      <c r="F21" s="3">
        <v>200</v>
      </c>
      <c r="G21" s="2" t="s">
        <v>11</v>
      </c>
      <c r="H21" s="2" t="s">
        <v>21</v>
      </c>
    </row>
    <row r="22" spans="1:8" ht="16.5" customHeight="1">
      <c r="A22" s="1">
        <v>45546</v>
      </c>
      <c r="B22" s="12">
        <f t="shared" si="0"/>
        <v>9</v>
      </c>
      <c r="C22" s="2" t="s">
        <v>13</v>
      </c>
      <c r="D22" s="2" t="s">
        <v>24</v>
      </c>
      <c r="E22" s="3" t="s">
        <v>49</v>
      </c>
      <c r="F22" s="3">
        <v>600</v>
      </c>
      <c r="G22" s="2" t="s">
        <v>16</v>
      </c>
      <c r="H22" s="2" t="s">
        <v>17</v>
      </c>
    </row>
    <row r="23" spans="1:8" ht="16.5" customHeight="1">
      <c r="A23" s="1">
        <v>45549</v>
      </c>
      <c r="B23" s="12">
        <f t="shared" si="0"/>
        <v>9</v>
      </c>
      <c r="C23" s="2" t="s">
        <v>13</v>
      </c>
      <c r="D23" s="2" t="s">
        <v>26</v>
      </c>
      <c r="E23" s="3" t="s">
        <v>27</v>
      </c>
      <c r="F23" s="3">
        <v>350</v>
      </c>
      <c r="G23" s="2" t="s">
        <v>11</v>
      </c>
      <c r="H23" s="2" t="s">
        <v>21</v>
      </c>
    </row>
    <row r="24" spans="1:8" ht="16.5" customHeight="1">
      <c r="A24" s="1">
        <v>45552</v>
      </c>
      <c r="B24" s="12">
        <f t="shared" si="0"/>
        <v>9</v>
      </c>
      <c r="C24" s="2" t="s">
        <v>13</v>
      </c>
      <c r="D24" s="2" t="s">
        <v>28</v>
      </c>
      <c r="E24" s="3" t="s">
        <v>50</v>
      </c>
      <c r="F24" s="3">
        <v>500</v>
      </c>
      <c r="G24" s="2" t="s">
        <v>20</v>
      </c>
      <c r="H24" s="2" t="s">
        <v>17</v>
      </c>
    </row>
    <row r="25" spans="1:8" ht="16.5" customHeight="1">
      <c r="A25" s="1">
        <v>45555</v>
      </c>
      <c r="B25" s="12">
        <f t="shared" si="0"/>
        <v>9</v>
      </c>
      <c r="C25" s="2" t="s">
        <v>8</v>
      </c>
      <c r="D25" s="2" t="s">
        <v>51</v>
      </c>
      <c r="E25" s="2" t="s">
        <v>52</v>
      </c>
      <c r="F25" s="3">
        <v>1200</v>
      </c>
      <c r="G25" s="2" t="s">
        <v>11</v>
      </c>
      <c r="H25" s="2" t="s">
        <v>12</v>
      </c>
    </row>
    <row r="26" spans="1:8" ht="16.5" customHeight="1">
      <c r="A26" s="1">
        <v>45555</v>
      </c>
      <c r="B26" s="12">
        <f t="shared" si="0"/>
        <v>9</v>
      </c>
      <c r="C26" s="2" t="s">
        <v>13</v>
      </c>
      <c r="D26" s="2" t="s">
        <v>32</v>
      </c>
      <c r="E26" s="3" t="s">
        <v>53</v>
      </c>
      <c r="F26" s="3">
        <v>800</v>
      </c>
      <c r="G26" s="2" t="s">
        <v>11</v>
      </c>
      <c r="H26" s="2" t="s">
        <v>21</v>
      </c>
    </row>
    <row r="27" spans="1:8" ht="16.5" customHeight="1">
      <c r="A27" s="1">
        <v>45558</v>
      </c>
      <c r="B27" s="12">
        <f t="shared" si="0"/>
        <v>9</v>
      </c>
      <c r="C27" s="2" t="s">
        <v>13</v>
      </c>
      <c r="D27" s="2" t="s">
        <v>34</v>
      </c>
      <c r="E27" s="3" t="s">
        <v>54</v>
      </c>
      <c r="F27" s="3">
        <v>1500</v>
      </c>
      <c r="G27" s="2" t="s">
        <v>20</v>
      </c>
      <c r="H27" s="2" t="s">
        <v>17</v>
      </c>
    </row>
    <row r="28" spans="1:8" ht="16.5" customHeight="1">
      <c r="A28" s="1">
        <v>45561</v>
      </c>
      <c r="B28" s="12">
        <f t="shared" si="0"/>
        <v>9</v>
      </c>
      <c r="C28" s="2" t="s">
        <v>13</v>
      </c>
      <c r="D28" s="2" t="s">
        <v>55</v>
      </c>
      <c r="E28" s="3" t="s">
        <v>56</v>
      </c>
      <c r="F28" s="3">
        <v>250</v>
      </c>
      <c r="G28" s="2" t="s">
        <v>16</v>
      </c>
      <c r="H28" s="2" t="s">
        <v>21</v>
      </c>
    </row>
    <row r="29" spans="1:8" ht="16.5" customHeight="1">
      <c r="A29" s="1">
        <v>45564</v>
      </c>
      <c r="B29" s="12">
        <f t="shared" si="0"/>
        <v>9</v>
      </c>
      <c r="C29" s="2" t="s">
        <v>13</v>
      </c>
      <c r="D29" s="2" t="s">
        <v>38</v>
      </c>
      <c r="E29" s="3" t="s">
        <v>57</v>
      </c>
      <c r="F29" s="3">
        <v>400</v>
      </c>
      <c r="G29" s="2" t="s">
        <v>20</v>
      </c>
      <c r="H29" s="2" t="s">
        <v>17</v>
      </c>
    </row>
    <row r="30" spans="1:8" ht="16.5" customHeight="1">
      <c r="A30" s="1">
        <v>45566</v>
      </c>
      <c r="B30" s="12">
        <f t="shared" si="0"/>
        <v>10</v>
      </c>
      <c r="C30" s="2" t="s">
        <v>8</v>
      </c>
      <c r="D30" s="2" t="s">
        <v>9</v>
      </c>
      <c r="E30" s="2" t="s">
        <v>10</v>
      </c>
      <c r="F30" s="3">
        <v>5000</v>
      </c>
      <c r="G30" s="2" t="s">
        <v>11</v>
      </c>
      <c r="H30" s="2" t="s">
        <v>12</v>
      </c>
    </row>
    <row r="31" spans="1:8" ht="16.5" customHeight="1">
      <c r="A31" s="1">
        <v>45566</v>
      </c>
      <c r="B31" s="12">
        <f t="shared" si="0"/>
        <v>10</v>
      </c>
      <c r="C31" s="2" t="s">
        <v>13</v>
      </c>
      <c r="D31" s="2" t="s">
        <v>14</v>
      </c>
      <c r="E31" s="2" t="s">
        <v>15</v>
      </c>
      <c r="F31" s="3">
        <v>600</v>
      </c>
      <c r="G31" s="2" t="s">
        <v>16</v>
      </c>
      <c r="H31" s="2" t="s">
        <v>17</v>
      </c>
    </row>
    <row r="32" spans="1:8" ht="16.5" customHeight="1">
      <c r="A32" s="1">
        <v>45568</v>
      </c>
      <c r="B32" s="12">
        <f t="shared" si="0"/>
        <v>10</v>
      </c>
      <c r="C32" s="2" t="s">
        <v>13</v>
      </c>
      <c r="D32" s="2" t="s">
        <v>18</v>
      </c>
      <c r="E32" s="2" t="s">
        <v>58</v>
      </c>
      <c r="F32" s="3">
        <v>200</v>
      </c>
      <c r="G32" s="2" t="s">
        <v>20</v>
      </c>
      <c r="H32" s="2" t="s">
        <v>21</v>
      </c>
    </row>
    <row r="33" spans="1:8" ht="16.5" customHeight="1">
      <c r="A33" s="1">
        <v>45570</v>
      </c>
      <c r="B33" s="12">
        <f t="shared" si="0"/>
        <v>10</v>
      </c>
      <c r="C33" s="2" t="s">
        <v>13</v>
      </c>
      <c r="D33" s="2" t="s">
        <v>22</v>
      </c>
      <c r="E33" s="2" t="s">
        <v>59</v>
      </c>
      <c r="F33" s="3">
        <v>180</v>
      </c>
      <c r="G33" s="2" t="s">
        <v>11</v>
      </c>
      <c r="H33" s="2" t="s">
        <v>21</v>
      </c>
    </row>
    <row r="34" spans="1:8" ht="16.5" customHeight="1">
      <c r="A34" s="1">
        <v>45573</v>
      </c>
      <c r="B34" s="12">
        <f t="shared" si="0"/>
        <v>10</v>
      </c>
      <c r="C34" s="2" t="s">
        <v>13</v>
      </c>
      <c r="D34" s="2" t="s">
        <v>24</v>
      </c>
      <c r="E34" s="2" t="s">
        <v>60</v>
      </c>
      <c r="F34" s="3">
        <v>120</v>
      </c>
      <c r="G34" s="2" t="s">
        <v>16</v>
      </c>
      <c r="H34" s="2" t="s">
        <v>17</v>
      </c>
    </row>
    <row r="35" spans="1:8" ht="16.5" customHeight="1">
      <c r="A35" s="1">
        <v>45575</v>
      </c>
      <c r="B35" s="12">
        <f t="shared" si="0"/>
        <v>10</v>
      </c>
      <c r="C35" s="2" t="s">
        <v>13</v>
      </c>
      <c r="D35" s="2" t="s">
        <v>26</v>
      </c>
      <c r="E35" s="2" t="s">
        <v>61</v>
      </c>
      <c r="F35" s="3">
        <v>350</v>
      </c>
      <c r="G35" s="2" t="s">
        <v>20</v>
      </c>
      <c r="H35" s="2" t="s">
        <v>17</v>
      </c>
    </row>
    <row r="36" spans="1:8" ht="16.5" customHeight="1">
      <c r="A36" s="1">
        <v>45578</v>
      </c>
      <c r="B36" s="12">
        <f t="shared" si="0"/>
        <v>10</v>
      </c>
      <c r="C36" s="2" t="s">
        <v>13</v>
      </c>
      <c r="D36" s="2" t="s">
        <v>28</v>
      </c>
      <c r="E36" s="2" t="s">
        <v>62</v>
      </c>
      <c r="F36" s="3">
        <v>400</v>
      </c>
      <c r="G36" s="2" t="s">
        <v>11</v>
      </c>
      <c r="H36" s="2" t="s">
        <v>21</v>
      </c>
    </row>
    <row r="37" spans="1:8" ht="16.5" customHeight="1">
      <c r="A37" s="1">
        <v>45580</v>
      </c>
      <c r="B37" s="12">
        <f t="shared" si="0"/>
        <v>10</v>
      </c>
      <c r="C37" s="2" t="s">
        <v>13</v>
      </c>
      <c r="D37" s="2" t="s">
        <v>32</v>
      </c>
      <c r="E37" s="2" t="s">
        <v>63</v>
      </c>
      <c r="F37" s="3">
        <v>450</v>
      </c>
      <c r="G37" s="2" t="s">
        <v>16</v>
      </c>
      <c r="H37" s="2" t="s">
        <v>21</v>
      </c>
    </row>
    <row r="38" spans="1:8" ht="16.5" customHeight="1">
      <c r="A38" s="1">
        <v>45583</v>
      </c>
      <c r="B38" s="12">
        <f t="shared" si="0"/>
        <v>10</v>
      </c>
      <c r="C38" s="2" t="s">
        <v>8</v>
      </c>
      <c r="D38" s="2" t="s">
        <v>64</v>
      </c>
      <c r="E38" s="2" t="s">
        <v>65</v>
      </c>
      <c r="F38" s="3">
        <v>1500</v>
      </c>
      <c r="G38" s="2" t="s">
        <v>11</v>
      </c>
      <c r="H38" s="2" t="s">
        <v>12</v>
      </c>
    </row>
    <row r="39" spans="1:8" ht="16.5" customHeight="1">
      <c r="A39" s="1">
        <v>45583</v>
      </c>
      <c r="B39" s="12">
        <f t="shared" si="0"/>
        <v>10</v>
      </c>
      <c r="C39" s="2" t="s">
        <v>13</v>
      </c>
      <c r="D39" s="2" t="s">
        <v>34</v>
      </c>
      <c r="E39" s="2" t="s">
        <v>66</v>
      </c>
      <c r="F39" s="3">
        <v>300</v>
      </c>
      <c r="G39" s="2" t="s">
        <v>20</v>
      </c>
      <c r="H39" s="2" t="s">
        <v>17</v>
      </c>
    </row>
    <row r="40" spans="1:8" ht="16.5" customHeight="1">
      <c r="A40" s="1">
        <v>45585</v>
      </c>
      <c r="B40" s="12">
        <f t="shared" si="0"/>
        <v>10</v>
      </c>
      <c r="C40" s="2" t="s">
        <v>13</v>
      </c>
      <c r="D40" s="2" t="s">
        <v>36</v>
      </c>
      <c r="E40" s="2" t="s">
        <v>67</v>
      </c>
      <c r="F40" s="3">
        <v>800</v>
      </c>
      <c r="G40" s="2" t="s">
        <v>11</v>
      </c>
      <c r="H40" s="2" t="s">
        <v>21</v>
      </c>
    </row>
    <row r="41" spans="1:8" ht="16.5" customHeight="1">
      <c r="A41" s="1">
        <v>45587</v>
      </c>
      <c r="B41" s="12">
        <f t="shared" si="0"/>
        <v>10</v>
      </c>
      <c r="C41" s="2" t="s">
        <v>13</v>
      </c>
      <c r="D41" s="2" t="s">
        <v>38</v>
      </c>
      <c r="E41" s="2" t="s">
        <v>68</v>
      </c>
      <c r="F41" s="3">
        <v>250</v>
      </c>
      <c r="G41" s="2" t="s">
        <v>20</v>
      </c>
      <c r="H41" s="2" t="s">
        <v>17</v>
      </c>
    </row>
    <row r="42" spans="1:8" ht="16.5" customHeight="1">
      <c r="A42" s="1">
        <v>45589</v>
      </c>
      <c r="B42" s="12">
        <f t="shared" si="0"/>
        <v>10</v>
      </c>
      <c r="C42" s="2" t="s">
        <v>13</v>
      </c>
      <c r="D42" s="2" t="s">
        <v>42</v>
      </c>
      <c r="E42" s="2" t="s">
        <v>69</v>
      </c>
      <c r="F42" s="3">
        <v>150</v>
      </c>
      <c r="G42" s="2" t="s">
        <v>16</v>
      </c>
      <c r="H42" s="2" t="s">
        <v>21</v>
      </c>
    </row>
    <row r="43" spans="1:8" ht="16.5" customHeight="1">
      <c r="A43" s="1">
        <v>45591</v>
      </c>
      <c r="B43" s="12">
        <f t="shared" si="0"/>
        <v>10</v>
      </c>
      <c r="C43" s="2" t="s">
        <v>13</v>
      </c>
      <c r="D43" s="2" t="s">
        <v>40</v>
      </c>
      <c r="E43" s="2" t="s">
        <v>70</v>
      </c>
      <c r="F43" s="3">
        <v>250</v>
      </c>
      <c r="G43" s="2" t="s">
        <v>11</v>
      </c>
      <c r="H43" s="2" t="s">
        <v>17</v>
      </c>
    </row>
    <row r="44" spans="1:8" ht="16.5" customHeight="1">
      <c r="A44" s="1">
        <v>45595</v>
      </c>
      <c r="B44" s="12">
        <f t="shared" si="0"/>
        <v>10</v>
      </c>
      <c r="C44" s="2" t="s">
        <v>13</v>
      </c>
      <c r="D44" s="2" t="s">
        <v>46</v>
      </c>
      <c r="E44" s="2" t="s">
        <v>71</v>
      </c>
      <c r="F44" s="3">
        <v>220</v>
      </c>
      <c r="G44" s="2" t="s">
        <v>11</v>
      </c>
      <c r="H44" s="2" t="s">
        <v>17</v>
      </c>
    </row>
    <row r="45" spans="1:8" ht="16.5" customHeight="1">
      <c r="A45" s="1">
        <v>45596</v>
      </c>
      <c r="B45" s="12">
        <f t="shared" si="0"/>
        <v>10</v>
      </c>
      <c r="C45" s="2" t="s">
        <v>13</v>
      </c>
      <c r="D45" s="2" t="s">
        <v>44</v>
      </c>
      <c r="E45" s="2" t="s">
        <v>72</v>
      </c>
      <c r="F45" s="3">
        <v>500</v>
      </c>
      <c r="G45" s="2" t="s">
        <v>20</v>
      </c>
      <c r="H45" s="2" t="s">
        <v>17</v>
      </c>
    </row>
  </sheetData>
  <autoFilter ref="A1:H4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0B977-4F04-4FCD-B24F-180C10565AC3}">
  <sheetPr>
    <tabColor theme="3" tint="0.89999084444715716"/>
  </sheetPr>
  <dimension ref="A2:F22"/>
  <sheetViews>
    <sheetView showGridLines="0" workbookViewId="0">
      <selection activeCell="B6" sqref="B6"/>
    </sheetView>
  </sheetViews>
  <sheetFormatPr defaultRowHeight="15"/>
  <cols>
    <col min="1" max="1" width="20.140625" bestFit="1" customWidth="1"/>
    <col min="2" max="3" width="13.5703125" bestFit="1" customWidth="1"/>
    <col min="5" max="5" width="14.28515625" bestFit="1" customWidth="1"/>
    <col min="6" max="6" width="13.5703125" bestFit="1" customWidth="1"/>
  </cols>
  <sheetData>
    <row r="2" spans="1:6">
      <c r="A2" s="5"/>
    </row>
    <row r="3" spans="1:6">
      <c r="A3" s="6" t="s">
        <v>73</v>
      </c>
    </row>
    <row r="4" spans="1:6">
      <c r="A4" s="10" t="s">
        <v>2</v>
      </c>
      <c r="B4" t="s">
        <v>13</v>
      </c>
      <c r="E4" s="10" t="s">
        <v>2</v>
      </c>
      <c r="F4" t="s">
        <v>8</v>
      </c>
    </row>
    <row r="6" spans="1:6">
      <c r="A6" s="8" t="s">
        <v>3</v>
      </c>
      <c r="B6" s="8" t="s">
        <v>74</v>
      </c>
      <c r="E6" s="14" t="s">
        <v>3</v>
      </c>
      <c r="F6" s="14" t="s">
        <v>74</v>
      </c>
    </row>
    <row r="7" spans="1:6">
      <c r="A7" t="s">
        <v>14</v>
      </c>
      <c r="B7" s="4">
        <v>1600</v>
      </c>
      <c r="E7" t="s">
        <v>51</v>
      </c>
      <c r="F7" s="4">
        <v>1200</v>
      </c>
    </row>
    <row r="8" spans="1:6">
      <c r="A8" t="s">
        <v>40</v>
      </c>
      <c r="B8" s="4">
        <v>330</v>
      </c>
      <c r="E8" t="s">
        <v>30</v>
      </c>
      <c r="F8" s="4">
        <v>800</v>
      </c>
    </row>
    <row r="9" spans="1:6">
      <c r="A9" t="s">
        <v>26</v>
      </c>
      <c r="B9" s="4">
        <v>1100</v>
      </c>
      <c r="E9" t="s">
        <v>9</v>
      </c>
      <c r="F9" s="4">
        <v>15000</v>
      </c>
    </row>
    <row r="10" spans="1:6">
      <c r="A10" t="s">
        <v>34</v>
      </c>
      <c r="B10" s="4">
        <v>3000</v>
      </c>
      <c r="E10" t="s">
        <v>64</v>
      </c>
      <c r="F10" s="4">
        <v>1500</v>
      </c>
    </row>
    <row r="11" spans="1:6">
      <c r="A11" t="s">
        <v>46</v>
      </c>
      <c r="B11" s="4">
        <v>570</v>
      </c>
      <c r="E11" t="s">
        <v>75</v>
      </c>
      <c r="F11" s="4">
        <v>18500</v>
      </c>
    </row>
    <row r="12" spans="1:6">
      <c r="A12" t="s">
        <v>22</v>
      </c>
      <c r="B12" s="4">
        <v>500</v>
      </c>
    </row>
    <row r="13" spans="1:6">
      <c r="A13" t="s">
        <v>42</v>
      </c>
      <c r="B13" s="4">
        <v>350</v>
      </c>
    </row>
    <row r="14" spans="1:6">
      <c r="A14" t="s">
        <v>38</v>
      </c>
      <c r="B14" s="4">
        <v>830</v>
      </c>
    </row>
    <row r="15" spans="1:6">
      <c r="A15" t="s">
        <v>24</v>
      </c>
      <c r="B15" s="4">
        <v>970</v>
      </c>
    </row>
    <row r="16" spans="1:6">
      <c r="A16" t="s">
        <v>32</v>
      </c>
      <c r="B16" s="4">
        <v>1400</v>
      </c>
    </row>
    <row r="17" spans="1:2">
      <c r="A17" t="s">
        <v>18</v>
      </c>
      <c r="B17" s="4">
        <v>800</v>
      </c>
    </row>
    <row r="18" spans="1:2">
      <c r="A18" t="s">
        <v>55</v>
      </c>
      <c r="B18" s="4">
        <v>250</v>
      </c>
    </row>
    <row r="19" spans="1:2">
      <c r="A19" t="s">
        <v>36</v>
      </c>
      <c r="B19" s="4">
        <v>1250</v>
      </c>
    </row>
    <row r="20" spans="1:2">
      <c r="A20" t="s">
        <v>28</v>
      </c>
      <c r="B20" s="4">
        <v>1500</v>
      </c>
    </row>
    <row r="21" spans="1:2">
      <c r="A21" t="s">
        <v>44</v>
      </c>
      <c r="B21" s="4">
        <v>1250</v>
      </c>
    </row>
    <row r="22" spans="1:2">
      <c r="A22" t="s">
        <v>75</v>
      </c>
      <c r="B22" s="4">
        <v>15700</v>
      </c>
    </row>
  </sheetData>
  <sheetProtection sheet="1" objects="1" scenarios="1"/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75FFD-55E3-4DD7-80BF-84E2497B80AF}">
  <sheetPr>
    <tabColor theme="3" tint="0.89999084444715716"/>
  </sheetPr>
  <dimension ref="A1"/>
  <sheetViews>
    <sheetView showGridLines="0" tabSelected="1" workbookViewId="0">
      <selection activeCell="Q13" sqref="Q13"/>
    </sheetView>
  </sheetViews>
  <sheetFormatPr defaultRowHeight="15"/>
  <cols>
    <col min="1" max="1" width="28.42578125" style="9" customWidth="1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E1B82-8F59-4D29-ACE5-19C522406B68}">
  <dimension ref="C2:P22"/>
  <sheetViews>
    <sheetView workbookViewId="0">
      <selection activeCell="J3" sqref="J3"/>
    </sheetView>
  </sheetViews>
  <sheetFormatPr defaultRowHeight="15"/>
  <cols>
    <col min="3" max="3" width="17.140625" customWidth="1"/>
    <col min="4" max="4" width="19.28515625" customWidth="1"/>
    <col min="15" max="15" width="17.7109375" customWidth="1"/>
    <col min="16" max="16" width="16.140625" customWidth="1"/>
  </cols>
  <sheetData>
    <row r="2" spans="3:16">
      <c r="C2" t="s">
        <v>76</v>
      </c>
      <c r="D2" s="15">
        <f>SUM(D6:D22)</f>
        <v>3755</v>
      </c>
    </row>
    <row r="3" spans="3:16">
      <c r="C3" t="s">
        <v>77</v>
      </c>
      <c r="D3" s="15">
        <v>20000</v>
      </c>
      <c r="O3" s="15"/>
      <c r="P3" s="15"/>
    </row>
    <row r="5" spans="3:16">
      <c r="C5" s="16" t="s">
        <v>78</v>
      </c>
      <c r="D5" s="16" t="s">
        <v>79</v>
      </c>
    </row>
    <row r="6" spans="3:16">
      <c r="C6" s="17">
        <v>45669</v>
      </c>
      <c r="D6" s="18">
        <v>50</v>
      </c>
    </row>
    <row r="7" spans="3:16">
      <c r="C7" s="17">
        <v>45670</v>
      </c>
      <c r="D7" s="18">
        <v>50</v>
      </c>
    </row>
    <row r="8" spans="3:16">
      <c r="C8" s="17">
        <v>45671</v>
      </c>
      <c r="D8" s="18">
        <v>411</v>
      </c>
    </row>
    <row r="9" spans="3:16">
      <c r="C9" s="17">
        <v>45672</v>
      </c>
      <c r="D9" s="18">
        <v>531</v>
      </c>
    </row>
    <row r="10" spans="3:16">
      <c r="C10" s="17">
        <v>45673</v>
      </c>
      <c r="D10" s="18">
        <v>157</v>
      </c>
    </row>
    <row r="11" spans="3:16">
      <c r="C11" s="17">
        <v>45674</v>
      </c>
      <c r="D11" s="18">
        <v>267</v>
      </c>
    </row>
    <row r="12" spans="3:16">
      <c r="C12" s="17">
        <v>45675</v>
      </c>
      <c r="D12" s="18">
        <v>146</v>
      </c>
    </row>
    <row r="13" spans="3:16">
      <c r="C13" s="17">
        <v>45676</v>
      </c>
      <c r="D13" s="18">
        <v>163</v>
      </c>
    </row>
    <row r="14" spans="3:16">
      <c r="C14" s="17">
        <v>45677</v>
      </c>
      <c r="D14" s="18">
        <v>45</v>
      </c>
    </row>
    <row r="15" spans="3:16">
      <c r="C15" s="17">
        <v>45678</v>
      </c>
      <c r="D15" s="18">
        <v>325</v>
      </c>
    </row>
    <row r="16" spans="3:16">
      <c r="C16" s="17">
        <v>45679</v>
      </c>
      <c r="D16" s="18">
        <v>347</v>
      </c>
    </row>
    <row r="17" spans="3:4">
      <c r="C17" s="17">
        <v>45680</v>
      </c>
      <c r="D17" s="18">
        <v>260</v>
      </c>
    </row>
    <row r="18" spans="3:4">
      <c r="C18" s="17">
        <v>45681</v>
      </c>
      <c r="D18" s="18">
        <v>190</v>
      </c>
    </row>
    <row r="19" spans="3:4">
      <c r="C19" s="17">
        <v>45682</v>
      </c>
      <c r="D19" s="18">
        <v>187</v>
      </c>
    </row>
    <row r="20" spans="3:4">
      <c r="C20" s="17">
        <v>45683</v>
      </c>
      <c r="D20" s="18">
        <v>80</v>
      </c>
    </row>
    <row r="21" spans="3:4">
      <c r="C21" s="17">
        <v>45684</v>
      </c>
      <c r="D21" s="18">
        <v>109</v>
      </c>
    </row>
    <row r="22" spans="3:4">
      <c r="C22" s="17">
        <v>45685</v>
      </c>
      <c r="D22" s="18">
        <v>437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2025-01-12T21:48:11Z</dcterms:created>
  <dcterms:modified xsi:type="dcterms:W3CDTF">2025-01-13T01:36:38Z</dcterms:modified>
  <cp:category/>
  <cp:contentStatus/>
</cp:coreProperties>
</file>